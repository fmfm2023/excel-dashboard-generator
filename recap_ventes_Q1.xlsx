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0B42909-B6B7-4E20-8ED3-66CC463D500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nvier" sheetId="1" r:id="rId1"/>
    <sheet name="Février" sheetId="2" r:id="rId2"/>
    <sheet name="Mars" sheetId="3" r:id="rId3"/>
    <sheet name="Récapitulatif Q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 a="1"/>
  <c r="C2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<sst xmlns="http://schemas.openxmlformats.org/spreadsheetml/2006/main" count="79" uniqueCount="33">
  <si>
    <t xml:space="preserve"> Produit</t>
  </si>
  <si>
    <t>Quantité</t>
  </si>
  <si>
    <t>Prix unitaire</t>
  </si>
  <si>
    <t>Total</t>
  </si>
  <si>
    <t>Ordinateur portable</t>
  </si>
  <si>
    <t>Souris sans fil</t>
  </si>
  <si>
    <t>Clavier mécanique</t>
  </si>
  <si>
    <t>Écran 27 pouces</t>
  </si>
  <si>
    <t>Casque audio</t>
  </si>
  <si>
    <t>Webcam HD</t>
  </si>
  <si>
    <t>Disque dur externe</t>
  </si>
  <si>
    <t>Chaise de bureau</t>
  </si>
  <si>
    <t>Lampe de bureau LED</t>
  </si>
  <si>
    <t>Tapis de souris XL</t>
  </si>
  <si>
    <t>TOTAL</t>
  </si>
  <si>
    <t>290</t>
  </si>
  <si>
    <t/>
  </si>
  <si>
    <t>29179.51</t>
  </si>
  <si>
    <t>303</t>
  </si>
  <si>
    <t>29282.76</t>
  </si>
  <si>
    <t>422</t>
  </si>
  <si>
    <t>44609.87</t>
  </si>
  <si>
    <t>Qté Janvier</t>
  </si>
  <si>
    <t>Qté Février</t>
  </si>
  <si>
    <t>Qté Mars</t>
  </si>
  <si>
    <t>Total Quantité</t>
  </si>
  <si>
    <t>CA Janvier</t>
  </si>
  <si>
    <t>CA Février</t>
  </si>
  <si>
    <t>CA Mars</t>
  </si>
  <si>
    <t>CA Total</t>
  </si>
  <si>
    <t>produit</t>
  </si>
  <si>
    <t>qté</t>
  </si>
  <si>
    <t>resultat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</si>
</sst>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</v>
      </c>
      <c r="C2">
        <v>899.99</v>
      </c>
      <c r="D2">
        <v>13499.85</v>
      </c>
    </row>
    <row r="3" spans="1:4" x14ac:dyDescent="0.25">
      <c r="A3" t="s">
        <v>5</v>
      </c>
      <c r="B3">
        <v>42</v>
      </c>
      <c r="C3">
        <v>24.99</v>
      </c>
      <c r="D3">
        <v>1049.58</v>
      </c>
    </row>
    <row r="4" spans="1:4" x14ac:dyDescent="0.25">
      <c r="A4" t="s">
        <v>6</v>
      </c>
      <c r="B4">
        <v>28</v>
      </c>
      <c r="C4">
        <v>79.900000000000006</v>
      </c>
      <c r="D4">
        <v>2237.1999999999998</v>
      </c>
    </row>
    <row r="5" spans="1:4" x14ac:dyDescent="0.25">
      <c r="A5" t="s">
        <v>7</v>
      </c>
      <c r="B5">
        <v>10</v>
      </c>
      <c r="C5">
        <v>349</v>
      </c>
      <c r="D5">
        <v>3490</v>
      </c>
    </row>
    <row r="6" spans="1:4" x14ac:dyDescent="0.25">
      <c r="A6" t="s">
        <v>8</v>
      </c>
      <c r="B6">
        <v>33</v>
      </c>
      <c r="C6">
        <v>59.99</v>
      </c>
      <c r="D6">
        <v>1979.67</v>
      </c>
    </row>
    <row r="7" spans="1:4" x14ac:dyDescent="0.25">
      <c r="A7" t="s">
        <v>9</v>
      </c>
      <c r="B7">
        <v>19</v>
      </c>
      <c r="C7">
        <v>89.99</v>
      </c>
      <c r="D7">
        <v>1709.81</v>
      </c>
    </row>
    <row r="8" spans="1:4" x14ac:dyDescent="0.25">
      <c r="A8" t="s">
        <v>10</v>
      </c>
      <c r="B8">
        <v>25</v>
      </c>
      <c r="C8">
        <v>74.900000000000006</v>
      </c>
      <c r="D8">
        <v>1872.5</v>
      </c>
    </row>
    <row r="9" spans="1:4" x14ac:dyDescent="0.25">
      <c r="A9" t="s">
        <v>11</v>
      </c>
      <c r="B9">
        <v>8</v>
      </c>
      <c r="C9">
        <v>299</v>
      </c>
      <c r="D9">
        <v>2392</v>
      </c>
    </row>
    <row r="10" spans="1:4" x14ac:dyDescent="0.25">
      <c r="A10" t="s">
        <v>12</v>
      </c>
      <c r="B10">
        <v>50</v>
      </c>
      <c r="C10">
        <v>34.99</v>
      </c>
      <c r="D10">
        <v>1749.5</v>
      </c>
    </row>
    <row r="11" spans="1:4" x14ac:dyDescent="0.25">
      <c r="A11" t="s">
        <v>13</v>
      </c>
      <c r="B11">
        <v>60</v>
      </c>
      <c r="C11">
        <v>19.989999999999998</v>
      </c>
      <c r="D11">
        <v>1199.4000000000001</v>
      </c>
    </row>
    <row r="12" spans="1:4" x14ac:dyDescent="0.25">
      <c r="A12" t="s">
        <v>14</v>
      </c>
      <c r="B12" t="s">
        <v>15</v>
      </c>
      <c r="C12" t="s">
        <v>16</v>
      </c>
      <c r="D1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899.99</v>
      </c>
      <c r="D2">
        <v>10799.88</v>
      </c>
    </row>
    <row r="3" spans="1:4" x14ac:dyDescent="0.25">
      <c r="A3" t="s">
        <v>5</v>
      </c>
      <c r="B3">
        <v>55</v>
      </c>
      <c r="C3">
        <v>24.99</v>
      </c>
      <c r="D3">
        <v>1374.45</v>
      </c>
    </row>
    <row r="4" spans="1:4" x14ac:dyDescent="0.25">
      <c r="A4" t="s">
        <v>6</v>
      </c>
      <c r="B4">
        <v>31</v>
      </c>
      <c r="C4">
        <v>79.900000000000006</v>
      </c>
      <c r="D4">
        <v>2476.9</v>
      </c>
    </row>
    <row r="5" spans="1:4" x14ac:dyDescent="0.25">
      <c r="A5" t="s">
        <v>7</v>
      </c>
      <c r="B5">
        <v>14</v>
      </c>
      <c r="C5">
        <v>349</v>
      </c>
      <c r="D5">
        <v>4886</v>
      </c>
    </row>
    <row r="6" spans="1:4" x14ac:dyDescent="0.25">
      <c r="A6" t="s">
        <v>8</v>
      </c>
      <c r="B6">
        <v>27</v>
      </c>
      <c r="C6">
        <v>59.99</v>
      </c>
      <c r="D6">
        <v>1619.73</v>
      </c>
    </row>
    <row r="7" spans="1:4" x14ac:dyDescent="0.25">
      <c r="A7" t="s">
        <v>9</v>
      </c>
      <c r="B7">
        <v>22</v>
      </c>
      <c r="C7">
        <v>89.99</v>
      </c>
      <c r="D7">
        <v>1979.78</v>
      </c>
    </row>
    <row r="8" spans="1:4" x14ac:dyDescent="0.25">
      <c r="A8" t="s">
        <v>10</v>
      </c>
      <c r="B8">
        <v>18</v>
      </c>
      <c r="C8">
        <v>74.900000000000006</v>
      </c>
      <c r="D8">
        <v>1348.2</v>
      </c>
    </row>
    <row r="9" spans="1:4" x14ac:dyDescent="0.25">
      <c r="A9" t="s">
        <v>11</v>
      </c>
      <c r="B9">
        <v>6</v>
      </c>
      <c r="C9">
        <v>299</v>
      </c>
      <c r="D9">
        <v>1794</v>
      </c>
    </row>
    <row r="10" spans="1:4" x14ac:dyDescent="0.25">
      <c r="A10" t="s">
        <v>12</v>
      </c>
      <c r="B10">
        <v>43</v>
      </c>
      <c r="C10">
        <v>34.99</v>
      </c>
      <c r="D10">
        <v>1504.57</v>
      </c>
    </row>
    <row r="11" spans="1:4" x14ac:dyDescent="0.25">
      <c r="A11" t="s">
        <v>13</v>
      </c>
      <c r="B11">
        <v>75</v>
      </c>
      <c r="C11">
        <v>19.989999999999998</v>
      </c>
      <c r="D11">
        <v>1499.25</v>
      </c>
    </row>
    <row r="12" spans="1:4" x14ac:dyDescent="0.25">
      <c r="A12" t="s">
        <v>14</v>
      </c>
      <c r="B12" t="s">
        <v>18</v>
      </c>
      <c r="C12" t="s">
        <v>16</v>
      </c>
      <c r="D1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</v>
      </c>
      <c r="C2">
        <v>899.99</v>
      </c>
      <c r="D2">
        <v>17999.8</v>
      </c>
    </row>
    <row r="3" spans="1:4" x14ac:dyDescent="0.25">
      <c r="A3" t="s">
        <v>5</v>
      </c>
      <c r="B3">
        <v>68</v>
      </c>
      <c r="C3">
        <v>24.99</v>
      </c>
      <c r="D3">
        <v>1699.32</v>
      </c>
    </row>
    <row r="4" spans="1:4" x14ac:dyDescent="0.25">
      <c r="A4" t="s">
        <v>6</v>
      </c>
      <c r="B4">
        <v>45</v>
      </c>
      <c r="C4">
        <v>79.900000000000006</v>
      </c>
      <c r="D4">
        <v>3595.5</v>
      </c>
    </row>
    <row r="5" spans="1:4" x14ac:dyDescent="0.25">
      <c r="A5" t="s">
        <v>7</v>
      </c>
      <c r="B5">
        <v>17</v>
      </c>
      <c r="C5">
        <v>349</v>
      </c>
      <c r="D5">
        <v>5933</v>
      </c>
    </row>
    <row r="6" spans="1:4" x14ac:dyDescent="0.25">
      <c r="A6" t="s">
        <v>8</v>
      </c>
      <c r="B6">
        <v>40</v>
      </c>
      <c r="C6">
        <v>59.99</v>
      </c>
      <c r="D6">
        <v>2399.6</v>
      </c>
    </row>
    <row r="7" spans="1:4" x14ac:dyDescent="0.25">
      <c r="A7" t="s">
        <v>9</v>
      </c>
      <c r="B7">
        <v>30</v>
      </c>
      <c r="C7">
        <v>89.99</v>
      </c>
      <c r="D7">
        <v>2699.7</v>
      </c>
    </row>
    <row r="8" spans="1:4" x14ac:dyDescent="0.25">
      <c r="A8" t="s">
        <v>10</v>
      </c>
      <c r="B8">
        <v>35</v>
      </c>
      <c r="C8">
        <v>74.900000000000006</v>
      </c>
      <c r="D8">
        <v>2621.5</v>
      </c>
    </row>
    <row r="9" spans="1:4" x14ac:dyDescent="0.25">
      <c r="A9" t="s">
        <v>11</v>
      </c>
      <c r="B9">
        <v>12</v>
      </c>
      <c r="C9">
        <v>299</v>
      </c>
      <c r="D9">
        <v>3588</v>
      </c>
    </row>
    <row r="10" spans="1:4" x14ac:dyDescent="0.25">
      <c r="A10" t="s">
        <v>12</v>
      </c>
      <c r="B10">
        <v>65</v>
      </c>
      <c r="C10">
        <v>34.99</v>
      </c>
      <c r="D10">
        <v>2274.35</v>
      </c>
    </row>
    <row r="11" spans="1:4" x14ac:dyDescent="0.25">
      <c r="A11" t="s">
        <v>13</v>
      </c>
      <c r="B11">
        <v>90</v>
      </c>
      <c r="C11">
        <v>19.989999999999998</v>
      </c>
      <c r="D11">
        <v>1799.1</v>
      </c>
    </row>
    <row r="12" spans="1:4" x14ac:dyDescent="0.25">
      <c r="A12" t="s">
        <v>14</v>
      </c>
      <c r="B12" t="s">
        <v>20</v>
      </c>
      <c r="C12" t="s">
        <v>16</v>
      </c>
      <c r="D1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20" bestFit="1" customWidth="1"/>
    <col min="2" max="3" width="22.7109375" bestFit="1" customWidth="1"/>
    <col min="4" max="4" width="19.140625" bestFit="1" customWidth="1"/>
    <col min="5" max="5" width="29" bestFit="1" customWidth="1"/>
    <col min="6" max="7" width="20.7109375" bestFit="1" customWidth="1"/>
    <col min="8" max="9" width="17.28515625" bestFit="1" customWidth="1"/>
  </cols>
  <sheetData>
    <row r="1" spans="1:9" ht="31.5" x14ac:dyDescent="0.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 t="s">
        <v>4</v>
      </c>
      <c r="B2">
        <v>15</v>
      </c>
      <c r="C2">
        <v>12</v>
      </c>
      <c r="D2">
        <v>20</v>
      </c>
      <c r="E2">
        <v>47</v>
      </c>
      <c r="F2">
        <v>13499.85</v>
      </c>
      <c r="G2">
        <v>10799.88</v>
      </c>
      <c r="H2">
        <v>17999.8</v>
      </c>
      <c r="I2">
        <v>42299.53</v>
      </c>
    </row>
    <row r="3" spans="1:9" x14ac:dyDescent="0.25">
      <c r="A3" t="s">
        <v>5</v>
      </c>
      <c r="B3">
        <v>42</v>
      </c>
      <c r="C3">
        <v>55</v>
      </c>
      <c r="D3">
        <v>68</v>
      </c>
      <c r="E3">
        <v>165</v>
      </c>
      <c r="F3">
        <v>1049.58</v>
      </c>
      <c r="G3">
        <v>1374.45</v>
      </c>
      <c r="H3">
        <v>1699.32</v>
      </c>
      <c r="I3">
        <v>4123.3500000000004</v>
      </c>
    </row>
    <row r="4" spans="1:9" x14ac:dyDescent="0.25">
      <c r="A4" t="s">
        <v>6</v>
      </c>
      <c r="B4">
        <v>28</v>
      </c>
      <c r="C4">
        <v>31</v>
      </c>
      <c r="D4">
        <v>45</v>
      </c>
      <c r="E4">
        <v>104</v>
      </c>
      <c r="F4">
        <v>2237.1999999999998</v>
      </c>
      <c r="G4">
        <v>2476.9</v>
      </c>
      <c r="H4">
        <v>3595.5</v>
      </c>
      <c r="I4">
        <v>8309.6</v>
      </c>
    </row>
    <row r="5" spans="1:9" x14ac:dyDescent="0.25">
      <c r="A5" t="s">
        <v>7</v>
      </c>
      <c r="B5">
        <v>10</v>
      </c>
      <c r="C5">
        <v>14</v>
      </c>
      <c r="D5">
        <v>17</v>
      </c>
      <c r="E5">
        <v>41</v>
      </c>
      <c r="F5">
        <v>3490</v>
      </c>
      <c r="G5">
        <v>4886</v>
      </c>
      <c r="H5">
        <v>5933</v>
      </c>
      <c r="I5">
        <v>14309</v>
      </c>
    </row>
    <row r="6" spans="1:9" x14ac:dyDescent="0.25">
      <c r="A6" t="s">
        <v>8</v>
      </c>
      <c r="B6">
        <v>33</v>
      </c>
      <c r="C6">
        <v>27</v>
      </c>
      <c r="D6">
        <v>40</v>
      </c>
      <c r="E6">
        <v>100</v>
      </c>
      <c r="F6">
        <v>1979.67</v>
      </c>
      <c r="G6">
        <v>1619.73</v>
      </c>
      <c r="H6">
        <v>2399.6</v>
      </c>
      <c r="I6">
        <v>5999</v>
      </c>
    </row>
    <row r="7" spans="1:9" x14ac:dyDescent="0.25">
      <c r="A7" t="s">
        <v>9</v>
      </c>
      <c r="B7">
        <v>19</v>
      </c>
      <c r="C7">
        <v>22</v>
      </c>
      <c r="D7">
        <v>30</v>
      </c>
      <c r="E7">
        <v>71</v>
      </c>
      <c r="F7">
        <v>1709.81</v>
      </c>
      <c r="G7">
        <v>1979.78</v>
      </c>
      <c r="H7">
        <v>2699.7</v>
      </c>
      <c r="I7">
        <v>6389.29</v>
      </c>
    </row>
    <row r="8" spans="1:9" x14ac:dyDescent="0.25">
      <c r="A8" t="s">
        <v>10</v>
      </c>
      <c r="B8">
        <v>25</v>
      </c>
      <c r="C8">
        <v>18</v>
      </c>
      <c r="D8">
        <v>35</v>
      </c>
      <c r="E8">
        <v>78</v>
      </c>
      <c r="F8">
        <v>1872.5</v>
      </c>
      <c r="G8">
        <v>1348.2</v>
      </c>
      <c r="H8">
        <v>2621.5</v>
      </c>
      <c r="I8">
        <v>5842.2</v>
      </c>
    </row>
    <row r="9" spans="1:9" x14ac:dyDescent="0.25">
      <c r="A9" t="s">
        <v>11</v>
      </c>
      <c r="B9">
        <v>8</v>
      </c>
      <c r="C9">
        <v>6</v>
      </c>
      <c r="D9">
        <v>12</v>
      </c>
      <c r="E9">
        <v>26</v>
      </c>
      <c r="F9">
        <v>2392</v>
      </c>
      <c r="G9">
        <v>1794</v>
      </c>
      <c r="H9">
        <v>3588</v>
      </c>
      <c r="I9">
        <v>7774</v>
      </c>
    </row>
    <row r="10" spans="1:9" x14ac:dyDescent="0.25">
      <c r="A10" t="s">
        <v>12</v>
      </c>
      <c r="B10">
        <v>50</v>
      </c>
      <c r="C10">
        <v>43</v>
      </c>
      <c r="D10">
        <v>65</v>
      </c>
      <c r="E10">
        <v>158</v>
      </c>
      <c r="F10">
        <v>1749.5</v>
      </c>
      <c r="G10">
        <v>1504.57</v>
      </c>
      <c r="H10">
        <v>2274.35</v>
      </c>
      <c r="I10">
        <v>5528.42</v>
      </c>
    </row>
    <row r="11" spans="1:9" x14ac:dyDescent="0.25">
      <c r="A11" t="s">
        <v>13</v>
      </c>
      <c r="B11">
        <v>60</v>
      </c>
      <c r="C11">
        <v>75</v>
      </c>
      <c r="D11">
        <v>90</v>
      </c>
      <c r="E11">
        <v>225</v>
      </c>
      <c r="F11">
        <v>1199.4000000000001</v>
      </c>
      <c r="G11">
        <v>1499.25</v>
      </c>
      <c r="H11">
        <v>1799.1</v>
      </c>
      <c r="I11">
        <v>4497.75</v>
      </c>
    </row>
    <row r="12" spans="1:9" x14ac:dyDescent="0.25">
      <c r="A12" t="s">
        <v>14</v>
      </c>
      <c r="B12">
        <v>290</v>
      </c>
      <c r="C12">
        <v>303</v>
      </c>
      <c r="D12">
        <v>422</v>
      </c>
      <c r="E12">
        <v>1015</v>
      </c>
      <c r="F12">
        <v>29179.51</v>
      </c>
      <c r="G12">
        <v>29282.76</v>
      </c>
      <c r="H12">
        <v>44609.87</v>
      </c>
      <c r="I12">
        <v>103072.14</v>
      </c>
    </row>
    <row r="20" spans="1:5" x14ac:dyDescent="0.25">
      <c r="A20" t="s">
        <v>30</v>
      </c>
      <c r="B20" t="s">
        <v>31</v>
      </c>
      <c r="C20" t="s">
        <v>32</v>
      </c>
    </row>
    <row r="21" spans="1:5" x14ac:dyDescent="0.25">
      <c r="A21" t="s">
        <v>4</v>
      </c>
      <c r="B21" t="s">
        <v>29</v>
      </c>
      <c r="C21" cm="1">
        <f t="array" ref="C21">_xlfn.XLOOKUP(A21,A2:A12,_xlfn.XLOOKUP(B21,B1:I1,B2:I12))</f>
        <v>42299.53</v>
      </c>
      <c r="E21">
        <f>INDEX(A1:I12,MATCH(A21,A1:A12,0),MATCH(B21,A1:I1,0))</f>
        <v>42299.53</v>
      </c>
    </row>
  </sheetData>
  <dataValidations count="2">
    <dataValidation type="list" allowBlank="1" showInputMessage="1" showErrorMessage="1" sqref="A21" xr:uid="{BC4D5E29-9125-4F6B-9538-95E7AC8C1420}">
      <formula1>$A$2:$A$12</formula1>
    </dataValidation>
    <dataValidation type="list" allowBlank="1" showInputMessage="1" showErrorMessage="1" sqref="B21" xr:uid="{EA360AFE-ED3A-4F23-A6EC-E2FDE0692192}">
      <formula1>$B$1:$I$1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Janvier</vt:lpstr>
      <vt:lpstr>Février</vt:lpstr>
      <vt:lpstr>Mars</vt:lpstr>
      <vt:lpstr>Récapitulatif Q1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2026-02-25T00:57:01Z</dcterms:created>
  <dcterms:modified xsi:type="dcterms:W3CDTF">2026-02-28T23:57:57Z</dcterms:modified>
  <cp:category/>
</cp:coreProperties>
</file>